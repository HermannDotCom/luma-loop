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èses" sheetId="1" state="visible" r:id="rId1"/>
    <sheet xmlns:r="http://schemas.openxmlformats.org/officeDocument/2006/relationships" name="Prévision" sheetId="2" state="visible" r:id="rId2"/>
    <sheet xmlns:r="http://schemas.openxmlformats.org/officeDocument/2006/relationships" name="Synthèse" sheetId="3" state="visible" r:id="rId3"/>
  </sheets>
  <definedNames>
    <definedName name="_xlnm.Print_Area" localSheetId="0">'Hypothèses'!$B$2:$H$60</definedName>
    <definedName name="_xlnm.Print_Area" localSheetId="1">'Prévision'!$B$2:$H$60</definedName>
    <definedName name="_xlnm.Print_Area" localSheetId="2">'Synthèse'!$B$2:$H$60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0"/>
    <numFmt numFmtId="165" formatCode="0.0%"/>
    <numFmt numFmtId="166" formatCode="$#,##0.00;($#,##0.00);-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i val="1"/>
      <color rgb="00666666"/>
    </font>
    <font>
      <b val="1"/>
    </font>
    <font>
      <color rgb="000000FF"/>
    </font>
    <font>
      <color rgb="00008000"/>
    </font>
    <font>
      <b val="1"/>
      <color rgb="00000000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135B44"/>
      </patternFill>
    </fill>
    <fill>
      <patternFill patternType="solid">
        <fgColor rgb="00CFE9E0"/>
      </patternFill>
    </fill>
  </fills>
  <borders count="3">
    <border>
      <left/>
      <right/>
      <top/>
      <bottom/>
      <diagonal/>
    </border>
    <border>
      <top style="thin">
        <color rgb="00B7B7B7"/>
      </top>
    </border>
    <border>
      <top style="thin">
        <color rgb="00B7B7B7"/>
      </top>
      <bottom style="double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164" fontId="5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" fontId="5" fillId="0" borderId="0" applyAlignment="1" pivotButton="0" quotePrefix="0" xfId="0">
      <alignment horizontal="right"/>
    </xf>
    <xf numFmtId="0" fontId="4" fillId="3" borderId="0" pivotButton="0" quotePrefix="0" xfId="0"/>
    <xf numFmtId="0" fontId="5" fillId="0" borderId="0" pivotButton="0" quotePrefix="0" xfId="0"/>
    <xf numFmtId="3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0" fontId="7" fillId="0" borderId="2" pivotButton="0" quotePrefix="0" xfId="0"/>
    <xf numFmtId="3" fontId="8" fillId="0" borderId="2" applyAlignment="1" pivotButton="0" quotePrefix="0" xfId="0">
      <alignment horizontal="right"/>
    </xf>
    <xf numFmtId="166" fontId="8" fillId="0" borderId="2" applyAlignment="1" pivotButton="0" quotePrefix="0" xfId="0">
      <alignment horizontal="right"/>
    </xf>
    <xf numFmtId="0" fontId="7" fillId="0" borderId="1" pivotButton="0" quotePrefix="0" xfId="0"/>
    <xf numFmtId="166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Revenus IAA mensuels estimés</a:t>
            </a:r>
          </a:p>
        </rich>
      </tx>
    </title>
    <plotArea>
      <lineChart>
        <grouping val="standard"/>
        <ser>
          <idx val="0"/>
          <order val="0"/>
          <tx>
            <strRef>
              <f>'Prévision'!H9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'Prévision'!$C$42:$C$53</f>
            </numRef>
          </cat>
          <val>
            <numRef>
              <f>'Prévision'!$H$10:$H$21</f>
            </numRef>
          </val>
        </ser>
        <ser>
          <idx val="1"/>
          <order val="1"/>
          <tx>
            <strRef>
              <f>'Prévision'!H25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'Prévision'!$C$42:$C$53</f>
            </numRef>
          </cat>
          <val>
            <numRef>
              <f>'Prévision'!$H$26:$H$37</f>
            </numRef>
          </val>
        </ser>
        <ser>
          <idx val="2"/>
          <order val="2"/>
          <tx>
            <strRef>
              <f>'Prévision'!H41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'Prévision'!$C$42:$C$53</f>
            </numRef>
          </cat>
          <val>
            <numRef>
              <f>'Prévision'!$H$42:$H$53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Manus AI</author>
  </authors>
  <commentList>
    <comment ref="D9" authorId="0" shapeId="0">
      <text>
        <t>Source : Hypothèse de distribution, sans campagne payante incluse. Date : 27 août 2026.</t>
      </text>
    </comment>
    <comment ref="E9" authorId="0" shapeId="0">
      <text>
        <t>Source : Hypothèse de distribution, sans campagne payante incluse. Date : 27 août 2026.</t>
      </text>
    </comment>
    <comment ref="F9" authorId="0" shapeId="0">
      <text>
        <t>Source : Hypothèse de distribution, sans campagne payante incluse. Date : 27 août 2026.</t>
      </text>
    </comment>
    <comment ref="D10" authorId="0" shapeId="0">
      <text>
        <t>Source : Hypothèse de distribution, sans campagne payante incluse. Date : 27 août 2026.</t>
      </text>
    </comment>
    <comment ref="E10" authorId="0" shapeId="0">
      <text>
        <t>Source : Hypothèse de distribution, sans campagne payante incluse. Date : 27 août 2026.</t>
      </text>
    </comment>
    <comment ref="F10" authorId="0" shapeId="0">
      <text>
        <t>Source : Hypothèse de distribution, sans campagne payante incluse. Date : 27 août 2026.</t>
      </text>
    </comment>
    <comment ref="D11" authorId="0" shapeId="0">
      <text>
        <t>Source : Hypothèse de rétention mensuelle simplifiée; non issue de données Luma Loop. Date : 27 août 2026.</t>
      </text>
    </comment>
    <comment ref="E11" authorId="0" shapeId="0">
      <text>
        <t>Source : Hypothèse de rétention mensuelle simplifiée; non issue de données Luma Loop. Date : 27 août 2026.</t>
      </text>
    </comment>
    <comment ref="F11" authorId="0" shapeId="0">
      <text>
        <t>Source : Hypothèse de rétention mensuelle simplifiée; non issue de données Luma Loop. Date : 27 août 2026.</t>
      </text>
    </comment>
    <comment ref="D12" authorId="0" shapeId="0">
      <text>
        <t>Source : Hypothèse de fréquence quotidienne; à remplacer par les données de production. Date : 27 août 2026.</t>
      </text>
    </comment>
    <comment ref="E12" authorId="0" shapeId="0">
      <text>
        <t>Source : Hypothèse de fréquence quotidienne; à remplacer par les données de production. Date : 27 août 2026.</t>
      </text>
    </comment>
    <comment ref="F12" authorId="0" shapeId="0">
      <text>
        <t>Source : Hypothèse de fréquence quotidienne; à remplacer par les données de production. Date : 27 août 2026.</t>
      </text>
    </comment>
    <comment ref="D13" authorId="0" shapeId="0">
      <text>
        <t>Source : Hypothèse de placement volontaire; aucune publicité n’est active dans la version 1.0.0. Date : 27 août 2026.</t>
      </text>
    </comment>
    <comment ref="E13" authorId="0" shapeId="0">
      <text>
        <t>Source : Hypothèse de placement volontaire; aucune publicité n’est active dans la version 1.0.0. Date : 27 août 2026.</t>
      </text>
    </comment>
    <comment ref="F13" authorId="0" shapeId="0">
      <text>
        <t>Source : Hypothèse de placement volontaire; aucune publicité n’est active dans la version 1.0.0. Date : 27 août 2026.</t>
      </text>
    </comment>
    <comment ref="D14" authorId="0" shapeId="0">
      <text>
        <t>Source : Hypothèse de remplissage; dépend du pays, de la médiation et de la demande. Date : 27 août 2026.</t>
      </text>
    </comment>
    <comment ref="E14" authorId="0" shapeId="0">
      <text>
        <t>Source : Hypothèse de remplissage; dépend du pays, de la médiation et de la demande. Date : 27 août 2026.</t>
      </text>
    </comment>
    <comment ref="F14" authorId="0" shapeId="0">
      <text>
        <t>Source : Hypothèse de remplissage; dépend du pays, de la médiation et de la demande. Date : 27 août 2026.</t>
      </text>
    </comment>
    <comment ref="D15" authorId="0" shapeId="0">
      <text>
        <t>Source : Scénario central : benchmark Android Europe de 5,10 USD; bornes prudente/haute : hypothèses de sensibilité. Date : 27 août 2026.</t>
      </text>
    </comment>
    <comment ref="E15" authorId="0" shapeId="0">
      <text>
        <t>Source : Scénario central : benchmark Android Europe de 5,10 USD; bornes prudente/haute : hypothèses de sensibilité. Date : 27 août 2026.</t>
      </text>
    </comment>
    <comment ref="F15" authorId="0" shapeId="0">
      <text>
        <t>Source : Scénario central : benchmark Android Europe de 5,10 USD; bornes prudente/haute : hypothèses de sensibilité. Date : 27 août 2026.</t>
      </text>
    </comment>
    <comment ref="D16" authorId="0" shapeId="0">
      <text>
        <t>Convention de modélisation : 30 jours par mois, 27 août 2026.</t>
      </text>
    </comment>
    <comment ref="E16" authorId="0" shapeId="0">
      <text>
        <t>Convention de modélisation : 30 jours par mois, 27 août 2026.</t>
      </text>
    </comment>
    <comment ref="F16" authorId="0" shapeId="0">
      <text>
        <t>Convention de modélisation : 30 jours par mois, 27 août 2026.</t>
      </text>
    </comment>
    <comment ref="D20" authorId="0" shapeId="0">
      <text>
        <t>Source : GameAnalytics, 2025 Mobile Gaming Benchmarks, données 2024, région Europe, consulté le 27 août 2026.</t>
      </text>
    </comment>
    <comment ref="D21" authorId="0" shapeId="0">
      <text>
        <t>Source : Mistplay, Mobile ads eCPM: Basics and latest data, 13 mars 2026, tableau Android Europe.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H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24" customWidth="1" min="4" max="4"/>
    <col width="24" customWidth="1" min="5" max="5"/>
    <col width="24" customWidth="1" min="6" max="6"/>
    <col width="54" customWidth="1" min="7" max="7"/>
    <col width="24" customWidth="1" min="8" max="8"/>
  </cols>
  <sheetData>
    <row r="3">
      <c r="C3" s="1" t="inlineStr">
        <is>
          <t>Luma Loop — Prévisionnel IAA Android</t>
        </is>
      </c>
    </row>
    <row r="5">
      <c r="C5" s="2" t="inlineStr">
        <is>
          <t>Scénarios de revenus publicitaires récompensés — 12 mois</t>
        </is>
      </c>
    </row>
    <row r="6">
      <c r="C6" s="3" t="inlineStr">
        <is>
          <t>USD, avant impôts, coûts d’acquisition, salaires et autres frais de Flash Digital SAS</t>
        </is>
      </c>
    </row>
    <row r="8">
      <c r="C8" s="4" t="inlineStr">
        <is>
          <t>Indicateur</t>
        </is>
      </c>
      <c r="D8" s="4" t="inlineStr">
        <is>
          <t>Prudent</t>
        </is>
      </c>
      <c r="E8" s="4" t="inlineStr">
        <is>
          <t>Central</t>
        </is>
      </c>
      <c r="F8" s="4" t="inlineStr">
        <is>
          <t>Haut</t>
        </is>
      </c>
      <c r="G8" s="4" t="inlineStr">
        <is>
          <t>Méthode / source</t>
        </is>
      </c>
      <c r="H8" s="4" t="n"/>
    </row>
    <row r="9">
      <c r="C9" t="inlineStr">
        <is>
          <t>Nouvelles installations — mois 1</t>
        </is>
      </c>
      <c r="D9" s="5" t="n">
        <v>100</v>
      </c>
      <c r="E9" s="5" t="n">
        <v>500</v>
      </c>
      <c r="F9" s="5" t="n">
        <v>2000</v>
      </c>
      <c r="G9" s="6" t="inlineStr">
        <is>
          <t>Hypothèse de distribution, sans campagne payante incluse.</t>
        </is>
      </c>
    </row>
    <row r="10">
      <c r="C10" t="inlineStr">
        <is>
          <t>Nouvelles installations — mois 12</t>
        </is>
      </c>
      <c r="D10" s="5" t="n">
        <v>800</v>
      </c>
      <c r="E10" s="5" t="n">
        <v>5000</v>
      </c>
      <c r="F10" s="5" t="n">
        <v>25000</v>
      </c>
      <c r="G10" s="6" t="inlineStr">
        <is>
          <t>Hypothèse de distribution, sans campagne payante incluse.</t>
        </is>
      </c>
    </row>
    <row r="11">
      <c r="C11" t="inlineStr">
        <is>
          <t>Part des MAU précédents encore actifs</t>
        </is>
      </c>
      <c r="D11" s="7" t="n">
        <v>0.05</v>
      </c>
      <c r="E11" s="7" t="n">
        <v>0.1</v>
      </c>
      <c r="F11" s="7" t="n">
        <v>0.2</v>
      </c>
      <c r="G11" s="6" t="inlineStr">
        <is>
          <t>Hypothèse de rétention mensuelle simplifiée; non issue de données Luma Loop.</t>
        </is>
      </c>
    </row>
    <row r="12">
      <c r="C12" t="inlineStr">
        <is>
          <t>DAU / MAU</t>
        </is>
      </c>
      <c r="D12" s="7" t="n">
        <v>0.08</v>
      </c>
      <c r="E12" s="7" t="n">
        <v>0.1</v>
      </c>
      <c r="F12" s="7" t="n">
        <v>0.15</v>
      </c>
      <c r="G12" s="6" t="inlineStr">
        <is>
          <t>Hypothèse de fréquence quotidienne; à remplacer par les données de production.</t>
        </is>
      </c>
    </row>
    <row r="13">
      <c r="C13" t="inlineStr">
        <is>
          <t>Impressions récompensées par DAU / jour</t>
        </is>
      </c>
      <c r="D13" s="8" t="n">
        <v>0.3</v>
      </c>
      <c r="E13" s="8" t="n">
        <v>0.6</v>
      </c>
      <c r="F13" s="8" t="n">
        <v>1</v>
      </c>
      <c r="G13" s="6" t="inlineStr">
        <is>
          <t>Hypothèse de placement volontaire; aucune publicité n’est active dans la version 1.0.0.</t>
        </is>
      </c>
    </row>
    <row r="14">
      <c r="C14" t="inlineStr">
        <is>
          <t>Taux de remplissage</t>
        </is>
      </c>
      <c r="D14" s="7" t="n">
        <v>0.8</v>
      </c>
      <c r="E14" s="7" t="n">
        <v>0.9</v>
      </c>
      <c r="F14" s="7" t="n">
        <v>0.95</v>
      </c>
      <c r="G14" s="6" t="inlineStr">
        <is>
          <t>Hypothèse de remplissage; dépend du pays, de la médiation et de la demande.</t>
        </is>
      </c>
    </row>
    <row r="15">
      <c r="C15" t="inlineStr">
        <is>
          <t>eCPM rewarded</t>
        </is>
      </c>
      <c r="D15" s="9" t="n">
        <v>3</v>
      </c>
      <c r="E15" s="9" t="n">
        <v>5.1</v>
      </c>
      <c r="F15" s="9" t="n">
        <v>8</v>
      </c>
      <c r="G15" s="6" t="inlineStr">
        <is>
          <t>Scénario central : benchmark Android Europe de 5,10 USD; bornes prudente/haute : hypothèses de sensibilité.</t>
        </is>
      </c>
    </row>
    <row r="16">
      <c r="C16" t="inlineStr">
        <is>
          <t>Jours par mois</t>
        </is>
      </c>
      <c r="D16" s="10" t="n">
        <v>30</v>
      </c>
      <c r="E16" s="10" t="n">
        <v>30</v>
      </c>
      <c r="F16" s="10" t="n">
        <v>30</v>
      </c>
      <c r="G16" s="6" t="inlineStr">
        <is>
          <t>Convention de modélisation uniforme sur 12 mois.</t>
        </is>
      </c>
    </row>
    <row r="19">
      <c r="C19" s="11" t="inlineStr">
        <is>
          <t>Repère de marché</t>
        </is>
      </c>
    </row>
    <row r="20">
      <c r="C20" t="inlineStr">
        <is>
          <t>Rétention mobile de référence</t>
        </is>
      </c>
      <c r="D20" s="12" t="inlineStr">
        <is>
          <t>Europe, médiane : D1 21,4 %, D7 4,31 %, D28 1,21 %</t>
        </is>
      </c>
    </row>
    <row r="21">
      <c r="C21" t="inlineStr">
        <is>
          <t>eCPM Android Europe</t>
        </is>
      </c>
      <c r="D21" s="12" t="inlineStr">
        <is>
          <t>5,10 USD pour vidéo récompensée selon le benchmark publié</t>
        </is>
      </c>
    </row>
    <row r="23">
      <c r="C23" s="11" t="inlineStr">
        <is>
          <t>Formule de revenus</t>
        </is>
      </c>
    </row>
    <row r="24">
      <c r="C24" t="inlineStr">
        <is>
          <t>Revenu mensuel</t>
        </is>
      </c>
      <c r="D24" t="inlineStr">
        <is>
          <t>DAU × 30 jours × opportunités rewarded/DAU/jour × fill rate × eCPM / 1 000</t>
        </is>
      </c>
    </row>
    <row r="25">
      <c r="C25" t="inlineStr">
        <is>
          <t>Périmètre</t>
        </is>
      </c>
      <c r="D25" t="inlineStr">
        <is>
          <t>Modèle Android, publicité récompensée seulement, avant impôts et sans dépenses d’acquisition utilisateurs.</t>
        </is>
      </c>
    </row>
  </sheetData>
  <mergeCells count="9">
    <mergeCell ref="C6:H6"/>
    <mergeCell ref="D21:H21"/>
    <mergeCell ref="C19:H19"/>
    <mergeCell ref="D20:H20"/>
    <mergeCell ref="D25:H25"/>
    <mergeCell ref="D24:H24"/>
    <mergeCell ref="C5:H5"/>
    <mergeCell ref="C23:H23"/>
    <mergeCell ref="C3:H3"/>
  </mergeCells>
  <pageMargins left="0.75" right="0.75" top="1" bottom="1" header="0.5" footer="0.5"/>
  <pageSetup orientation="landscape" fitToHeight="0" fitToWidth="1"/>
  <headerFooter>
    <oddHeader/>
    <oddFooter>&amp;CHypothèses —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3:H5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3">
      <c r="C3" s="1" t="inlineStr">
        <is>
          <t>Luma Loop — Prévision de revenus IAA</t>
        </is>
      </c>
    </row>
    <row r="5">
      <c r="C5" s="2" t="inlineStr">
        <is>
          <t>Calcul mensuel par scénario — hypothèses liées à l’onglet Hypothèses</t>
        </is>
      </c>
    </row>
    <row r="6">
      <c r="C6" s="3" t="inlineStr">
        <is>
          <t>USD, revenus publicitaires estimés</t>
        </is>
      </c>
    </row>
    <row r="8">
      <c r="C8" s="11" t="inlineStr">
        <is>
          <t>Prudent</t>
        </is>
      </c>
    </row>
    <row r="9">
      <c r="C9" s="4" t="inlineStr">
        <is>
          <t>Mois</t>
        </is>
      </c>
      <c r="D9" s="4" t="inlineStr">
        <is>
          <t>Nouvelles installations</t>
        </is>
      </c>
      <c r="E9" s="4" t="inlineStr">
        <is>
          <t>MAU estimés</t>
        </is>
      </c>
      <c r="F9" s="4" t="inlineStr">
        <is>
          <t>DAU estimés</t>
        </is>
      </c>
      <c r="G9" s="4" t="inlineStr">
        <is>
          <t>Impressions rewarded</t>
        </is>
      </c>
      <c r="H9" s="4" t="inlineStr">
        <is>
          <t>Revenus IAA — Prudent</t>
        </is>
      </c>
    </row>
    <row r="10">
      <c r="C10" t="n">
        <v>1</v>
      </c>
      <c r="D10" s="13">
        <f>Hypothèses!D9+(Hypothèses!D10-Hypothèses!D9)*($C10-1)/11</f>
        <v/>
      </c>
      <c r="E10" s="13">
        <f>D10</f>
        <v/>
      </c>
      <c r="F10" s="13">
        <f>E10*Hypothèses!D12</f>
        <v/>
      </c>
      <c r="G10" s="13">
        <f>F10*Hypothèses!D13*Hypothèses!D14*Hypothèses!D16</f>
        <v/>
      </c>
      <c r="H10" s="14">
        <f>G10*Hypothèses!D15/1000</f>
        <v/>
      </c>
    </row>
    <row r="11">
      <c r="C11" t="n">
        <v>2</v>
      </c>
      <c r="D11" s="13">
        <f>Hypothèses!D9+(Hypothèses!D10-Hypothèses!D9)*($C11-1)/11</f>
        <v/>
      </c>
      <c r="E11" s="13">
        <f>D11+E10*Hypothèses!D11</f>
        <v/>
      </c>
      <c r="F11" s="13">
        <f>E11*Hypothèses!D12</f>
        <v/>
      </c>
      <c r="G11" s="13">
        <f>F11*Hypothèses!D13*Hypothèses!D14*Hypothèses!D16</f>
        <v/>
      </c>
      <c r="H11" s="14">
        <f>G11*Hypothèses!D15/1000</f>
        <v/>
      </c>
    </row>
    <row r="12">
      <c r="C12" t="n">
        <v>3</v>
      </c>
      <c r="D12" s="13">
        <f>Hypothèses!D9+(Hypothèses!D10-Hypothèses!D9)*($C12-1)/11</f>
        <v/>
      </c>
      <c r="E12" s="13">
        <f>D12+E11*Hypothèses!D11</f>
        <v/>
      </c>
      <c r="F12" s="13">
        <f>E12*Hypothèses!D12</f>
        <v/>
      </c>
      <c r="G12" s="13">
        <f>F12*Hypothèses!D13*Hypothèses!D14*Hypothèses!D16</f>
        <v/>
      </c>
      <c r="H12" s="14">
        <f>G12*Hypothèses!D15/1000</f>
        <v/>
      </c>
    </row>
    <row r="13">
      <c r="C13" t="n">
        <v>4</v>
      </c>
      <c r="D13" s="13">
        <f>Hypothèses!D9+(Hypothèses!D10-Hypothèses!D9)*($C13-1)/11</f>
        <v/>
      </c>
      <c r="E13" s="13">
        <f>D13+E12*Hypothèses!D11</f>
        <v/>
      </c>
      <c r="F13" s="13">
        <f>E13*Hypothèses!D12</f>
        <v/>
      </c>
      <c r="G13" s="13">
        <f>F13*Hypothèses!D13*Hypothèses!D14*Hypothèses!D16</f>
        <v/>
      </c>
      <c r="H13" s="14">
        <f>G13*Hypothèses!D15/1000</f>
        <v/>
      </c>
    </row>
    <row r="14">
      <c r="C14" t="n">
        <v>5</v>
      </c>
      <c r="D14" s="13">
        <f>Hypothèses!D9+(Hypothèses!D10-Hypothèses!D9)*($C14-1)/11</f>
        <v/>
      </c>
      <c r="E14" s="13">
        <f>D14+E13*Hypothèses!D11</f>
        <v/>
      </c>
      <c r="F14" s="13">
        <f>E14*Hypothèses!D12</f>
        <v/>
      </c>
      <c r="G14" s="13">
        <f>F14*Hypothèses!D13*Hypothèses!D14*Hypothèses!D16</f>
        <v/>
      </c>
      <c r="H14" s="14">
        <f>G14*Hypothèses!D15/1000</f>
        <v/>
      </c>
    </row>
    <row r="15">
      <c r="C15" t="n">
        <v>6</v>
      </c>
      <c r="D15" s="13">
        <f>Hypothèses!D9+(Hypothèses!D10-Hypothèses!D9)*($C15-1)/11</f>
        <v/>
      </c>
      <c r="E15" s="13">
        <f>D15+E14*Hypothèses!D11</f>
        <v/>
      </c>
      <c r="F15" s="13">
        <f>E15*Hypothèses!D12</f>
        <v/>
      </c>
      <c r="G15" s="13">
        <f>F15*Hypothèses!D13*Hypothèses!D14*Hypothèses!D16</f>
        <v/>
      </c>
      <c r="H15" s="14">
        <f>G15*Hypothèses!D15/1000</f>
        <v/>
      </c>
    </row>
    <row r="16">
      <c r="C16" t="n">
        <v>7</v>
      </c>
      <c r="D16" s="13">
        <f>Hypothèses!D9+(Hypothèses!D10-Hypothèses!D9)*($C16-1)/11</f>
        <v/>
      </c>
      <c r="E16" s="13">
        <f>D16+E15*Hypothèses!D11</f>
        <v/>
      </c>
      <c r="F16" s="13">
        <f>E16*Hypothèses!D12</f>
        <v/>
      </c>
      <c r="G16" s="13">
        <f>F16*Hypothèses!D13*Hypothèses!D14*Hypothèses!D16</f>
        <v/>
      </c>
      <c r="H16" s="14">
        <f>G16*Hypothèses!D15/1000</f>
        <v/>
      </c>
    </row>
    <row r="17">
      <c r="C17" t="n">
        <v>8</v>
      </c>
      <c r="D17" s="13">
        <f>Hypothèses!D9+(Hypothèses!D10-Hypothèses!D9)*($C17-1)/11</f>
        <v/>
      </c>
      <c r="E17" s="13">
        <f>D17+E16*Hypothèses!D11</f>
        <v/>
      </c>
      <c r="F17" s="13">
        <f>E17*Hypothèses!D12</f>
        <v/>
      </c>
      <c r="G17" s="13">
        <f>F17*Hypothèses!D13*Hypothèses!D14*Hypothèses!D16</f>
        <v/>
      </c>
      <c r="H17" s="14">
        <f>G17*Hypothèses!D15/1000</f>
        <v/>
      </c>
    </row>
    <row r="18">
      <c r="C18" t="n">
        <v>9</v>
      </c>
      <c r="D18" s="13">
        <f>Hypothèses!D9+(Hypothèses!D10-Hypothèses!D9)*($C18-1)/11</f>
        <v/>
      </c>
      <c r="E18" s="13">
        <f>D18+E17*Hypothèses!D11</f>
        <v/>
      </c>
      <c r="F18" s="13">
        <f>E18*Hypothèses!D12</f>
        <v/>
      </c>
      <c r="G18" s="13">
        <f>F18*Hypothèses!D13*Hypothèses!D14*Hypothèses!D16</f>
        <v/>
      </c>
      <c r="H18" s="14">
        <f>G18*Hypothèses!D15/1000</f>
        <v/>
      </c>
    </row>
    <row r="19">
      <c r="C19" t="n">
        <v>10</v>
      </c>
      <c r="D19" s="13">
        <f>Hypothèses!D9+(Hypothèses!D10-Hypothèses!D9)*($C19-1)/11</f>
        <v/>
      </c>
      <c r="E19" s="13">
        <f>D19+E18*Hypothèses!D11</f>
        <v/>
      </c>
      <c r="F19" s="13">
        <f>E19*Hypothèses!D12</f>
        <v/>
      </c>
      <c r="G19" s="13">
        <f>F19*Hypothèses!D13*Hypothèses!D14*Hypothèses!D16</f>
        <v/>
      </c>
      <c r="H19" s="14">
        <f>G19*Hypothèses!D15/1000</f>
        <v/>
      </c>
    </row>
    <row r="20">
      <c r="C20" t="n">
        <v>11</v>
      </c>
      <c r="D20" s="13">
        <f>Hypothèses!D9+(Hypothèses!D10-Hypothèses!D9)*($C20-1)/11</f>
        <v/>
      </c>
      <c r="E20" s="13">
        <f>D20+E19*Hypothèses!D11</f>
        <v/>
      </c>
      <c r="F20" s="13">
        <f>E20*Hypothèses!D12</f>
        <v/>
      </c>
      <c r="G20" s="13">
        <f>F20*Hypothèses!D13*Hypothèses!D14*Hypothèses!D16</f>
        <v/>
      </c>
      <c r="H20" s="14">
        <f>G20*Hypothèses!D15/1000</f>
        <v/>
      </c>
    </row>
    <row r="21">
      <c r="C21" t="n">
        <v>12</v>
      </c>
      <c r="D21" s="13">
        <f>Hypothèses!D9+(Hypothèses!D10-Hypothèses!D9)*($C21-1)/11</f>
        <v/>
      </c>
      <c r="E21" s="13">
        <f>D21+E20*Hypothèses!D11</f>
        <v/>
      </c>
      <c r="F21" s="13">
        <f>E21*Hypothèses!D12</f>
        <v/>
      </c>
      <c r="G21" s="13">
        <f>F21*Hypothèses!D13*Hypothèses!D14*Hypothèses!D16</f>
        <v/>
      </c>
      <c r="H21" s="14">
        <f>G21*Hypothèses!D15/1000</f>
        <v/>
      </c>
    </row>
    <row r="22">
      <c r="C22" s="15" t="inlineStr">
        <is>
          <t>Total / moyenne</t>
        </is>
      </c>
      <c r="D22" s="16">
        <f>SUM(D10:D21)</f>
        <v/>
      </c>
      <c r="E22" s="16">
        <f>AVERAGE(E10:E21)</f>
        <v/>
      </c>
      <c r="F22" s="16">
        <f>AVERAGE(F10:F21)</f>
        <v/>
      </c>
      <c r="G22" s="16">
        <f>SUM(G10:G21)</f>
        <v/>
      </c>
      <c r="H22" s="17">
        <f>SUM(H10:H21)</f>
        <v/>
      </c>
    </row>
    <row r="24">
      <c r="C24" s="11" t="inlineStr">
        <is>
          <t>Central</t>
        </is>
      </c>
    </row>
    <row r="25">
      <c r="C25" s="4" t="inlineStr">
        <is>
          <t>Mois</t>
        </is>
      </c>
      <c r="D25" s="4" t="inlineStr">
        <is>
          <t>Nouvelles installations</t>
        </is>
      </c>
      <c r="E25" s="4" t="inlineStr">
        <is>
          <t>MAU estimés</t>
        </is>
      </c>
      <c r="F25" s="4" t="inlineStr">
        <is>
          <t>DAU estimés</t>
        </is>
      </c>
      <c r="G25" s="4" t="inlineStr">
        <is>
          <t>Impressions rewarded</t>
        </is>
      </c>
      <c r="H25" s="4" t="inlineStr">
        <is>
          <t>Revenus IAA — Central</t>
        </is>
      </c>
    </row>
    <row r="26">
      <c r="C26" t="n">
        <v>1</v>
      </c>
      <c r="D26" s="13">
        <f>Hypothèses!E9+(Hypothèses!E10-Hypothèses!E9)*($C26-1)/11</f>
        <v/>
      </c>
      <c r="E26" s="13">
        <f>D26</f>
        <v/>
      </c>
      <c r="F26" s="13">
        <f>E26*Hypothèses!E12</f>
        <v/>
      </c>
      <c r="G26" s="13">
        <f>F26*Hypothèses!E13*Hypothèses!E14*Hypothèses!E16</f>
        <v/>
      </c>
      <c r="H26" s="14">
        <f>G26*Hypothèses!E15/1000</f>
        <v/>
      </c>
    </row>
    <row r="27">
      <c r="C27" t="n">
        <v>2</v>
      </c>
      <c r="D27" s="13">
        <f>Hypothèses!E9+(Hypothèses!E10-Hypothèses!E9)*($C27-1)/11</f>
        <v/>
      </c>
      <c r="E27" s="13">
        <f>D27+E26*Hypothèses!E11</f>
        <v/>
      </c>
      <c r="F27" s="13">
        <f>E27*Hypothèses!E12</f>
        <v/>
      </c>
      <c r="G27" s="13">
        <f>F27*Hypothèses!E13*Hypothèses!E14*Hypothèses!E16</f>
        <v/>
      </c>
      <c r="H27" s="14">
        <f>G27*Hypothèses!E15/1000</f>
        <v/>
      </c>
    </row>
    <row r="28">
      <c r="C28" t="n">
        <v>3</v>
      </c>
      <c r="D28" s="13">
        <f>Hypothèses!E9+(Hypothèses!E10-Hypothèses!E9)*($C28-1)/11</f>
        <v/>
      </c>
      <c r="E28" s="13">
        <f>D28+E27*Hypothèses!E11</f>
        <v/>
      </c>
      <c r="F28" s="13">
        <f>E28*Hypothèses!E12</f>
        <v/>
      </c>
      <c r="G28" s="13">
        <f>F28*Hypothèses!E13*Hypothèses!E14*Hypothèses!E16</f>
        <v/>
      </c>
      <c r="H28" s="14">
        <f>G28*Hypothèses!E15/1000</f>
        <v/>
      </c>
    </row>
    <row r="29">
      <c r="C29" t="n">
        <v>4</v>
      </c>
      <c r="D29" s="13">
        <f>Hypothèses!E9+(Hypothèses!E10-Hypothèses!E9)*($C29-1)/11</f>
        <v/>
      </c>
      <c r="E29" s="13">
        <f>D29+E28*Hypothèses!E11</f>
        <v/>
      </c>
      <c r="F29" s="13">
        <f>E29*Hypothèses!E12</f>
        <v/>
      </c>
      <c r="G29" s="13">
        <f>F29*Hypothèses!E13*Hypothèses!E14*Hypothèses!E16</f>
        <v/>
      </c>
      <c r="H29" s="14">
        <f>G29*Hypothèses!E15/1000</f>
        <v/>
      </c>
    </row>
    <row r="30">
      <c r="C30" t="n">
        <v>5</v>
      </c>
      <c r="D30" s="13">
        <f>Hypothèses!E9+(Hypothèses!E10-Hypothèses!E9)*($C30-1)/11</f>
        <v/>
      </c>
      <c r="E30" s="13">
        <f>D30+E29*Hypothèses!E11</f>
        <v/>
      </c>
      <c r="F30" s="13">
        <f>E30*Hypothèses!E12</f>
        <v/>
      </c>
      <c r="G30" s="13">
        <f>F30*Hypothèses!E13*Hypothèses!E14*Hypothèses!E16</f>
        <v/>
      </c>
      <c r="H30" s="14">
        <f>G30*Hypothèses!E15/1000</f>
        <v/>
      </c>
    </row>
    <row r="31">
      <c r="C31" t="n">
        <v>6</v>
      </c>
      <c r="D31" s="13">
        <f>Hypothèses!E9+(Hypothèses!E10-Hypothèses!E9)*($C31-1)/11</f>
        <v/>
      </c>
      <c r="E31" s="13">
        <f>D31+E30*Hypothèses!E11</f>
        <v/>
      </c>
      <c r="F31" s="13">
        <f>E31*Hypothèses!E12</f>
        <v/>
      </c>
      <c r="G31" s="13">
        <f>F31*Hypothèses!E13*Hypothèses!E14*Hypothèses!E16</f>
        <v/>
      </c>
      <c r="H31" s="14">
        <f>G31*Hypothèses!E15/1000</f>
        <v/>
      </c>
    </row>
    <row r="32">
      <c r="C32" t="n">
        <v>7</v>
      </c>
      <c r="D32" s="13">
        <f>Hypothèses!E9+(Hypothèses!E10-Hypothèses!E9)*($C32-1)/11</f>
        <v/>
      </c>
      <c r="E32" s="13">
        <f>D32+E31*Hypothèses!E11</f>
        <v/>
      </c>
      <c r="F32" s="13">
        <f>E32*Hypothèses!E12</f>
        <v/>
      </c>
      <c r="G32" s="13">
        <f>F32*Hypothèses!E13*Hypothèses!E14*Hypothèses!E16</f>
        <v/>
      </c>
      <c r="H32" s="14">
        <f>G32*Hypothèses!E15/1000</f>
        <v/>
      </c>
    </row>
    <row r="33">
      <c r="C33" t="n">
        <v>8</v>
      </c>
      <c r="D33" s="13">
        <f>Hypothèses!E9+(Hypothèses!E10-Hypothèses!E9)*($C33-1)/11</f>
        <v/>
      </c>
      <c r="E33" s="13">
        <f>D33+E32*Hypothèses!E11</f>
        <v/>
      </c>
      <c r="F33" s="13">
        <f>E33*Hypothèses!E12</f>
        <v/>
      </c>
      <c r="G33" s="13">
        <f>F33*Hypothèses!E13*Hypothèses!E14*Hypothèses!E16</f>
        <v/>
      </c>
      <c r="H33" s="14">
        <f>G33*Hypothèses!E15/1000</f>
        <v/>
      </c>
    </row>
    <row r="34">
      <c r="C34" t="n">
        <v>9</v>
      </c>
      <c r="D34" s="13">
        <f>Hypothèses!E9+(Hypothèses!E10-Hypothèses!E9)*($C34-1)/11</f>
        <v/>
      </c>
      <c r="E34" s="13">
        <f>D34+E33*Hypothèses!E11</f>
        <v/>
      </c>
      <c r="F34" s="13">
        <f>E34*Hypothèses!E12</f>
        <v/>
      </c>
      <c r="G34" s="13">
        <f>F34*Hypothèses!E13*Hypothèses!E14*Hypothèses!E16</f>
        <v/>
      </c>
      <c r="H34" s="14">
        <f>G34*Hypothèses!E15/1000</f>
        <v/>
      </c>
    </row>
    <row r="35">
      <c r="C35" t="n">
        <v>10</v>
      </c>
      <c r="D35" s="13">
        <f>Hypothèses!E9+(Hypothèses!E10-Hypothèses!E9)*($C35-1)/11</f>
        <v/>
      </c>
      <c r="E35" s="13">
        <f>D35+E34*Hypothèses!E11</f>
        <v/>
      </c>
      <c r="F35" s="13">
        <f>E35*Hypothèses!E12</f>
        <v/>
      </c>
      <c r="G35" s="13">
        <f>F35*Hypothèses!E13*Hypothèses!E14*Hypothèses!E16</f>
        <v/>
      </c>
      <c r="H35" s="14">
        <f>G35*Hypothèses!E15/1000</f>
        <v/>
      </c>
    </row>
    <row r="36">
      <c r="C36" t="n">
        <v>11</v>
      </c>
      <c r="D36" s="13">
        <f>Hypothèses!E9+(Hypothèses!E10-Hypothèses!E9)*($C36-1)/11</f>
        <v/>
      </c>
      <c r="E36" s="13">
        <f>D36+E35*Hypothèses!E11</f>
        <v/>
      </c>
      <c r="F36" s="13">
        <f>E36*Hypothèses!E12</f>
        <v/>
      </c>
      <c r="G36" s="13">
        <f>F36*Hypothèses!E13*Hypothèses!E14*Hypothèses!E16</f>
        <v/>
      </c>
      <c r="H36" s="14">
        <f>G36*Hypothèses!E15/1000</f>
        <v/>
      </c>
    </row>
    <row r="37">
      <c r="C37" t="n">
        <v>12</v>
      </c>
      <c r="D37" s="13">
        <f>Hypothèses!E9+(Hypothèses!E10-Hypothèses!E9)*($C37-1)/11</f>
        <v/>
      </c>
      <c r="E37" s="13">
        <f>D37+E36*Hypothèses!E11</f>
        <v/>
      </c>
      <c r="F37" s="13">
        <f>E37*Hypothèses!E12</f>
        <v/>
      </c>
      <c r="G37" s="13">
        <f>F37*Hypothèses!E13*Hypothèses!E14*Hypothèses!E16</f>
        <v/>
      </c>
      <c r="H37" s="14">
        <f>G37*Hypothèses!E15/1000</f>
        <v/>
      </c>
    </row>
    <row r="38">
      <c r="C38" s="15" t="inlineStr">
        <is>
          <t>Total / moyenne</t>
        </is>
      </c>
      <c r="D38" s="16">
        <f>SUM(D26:D37)</f>
        <v/>
      </c>
      <c r="E38" s="16">
        <f>AVERAGE(E26:E37)</f>
        <v/>
      </c>
      <c r="F38" s="16">
        <f>AVERAGE(F26:F37)</f>
        <v/>
      </c>
      <c r="G38" s="16">
        <f>SUM(G26:G37)</f>
        <v/>
      </c>
      <c r="H38" s="17">
        <f>SUM(H26:H37)</f>
        <v/>
      </c>
    </row>
    <row r="40">
      <c r="C40" s="11" t="inlineStr">
        <is>
          <t>Haut</t>
        </is>
      </c>
    </row>
    <row r="41">
      <c r="C41" s="4" t="inlineStr">
        <is>
          <t>Mois</t>
        </is>
      </c>
      <c r="D41" s="4" t="inlineStr">
        <is>
          <t>Nouvelles installations</t>
        </is>
      </c>
      <c r="E41" s="4" t="inlineStr">
        <is>
          <t>MAU estimés</t>
        </is>
      </c>
      <c r="F41" s="4" t="inlineStr">
        <is>
          <t>DAU estimés</t>
        </is>
      </c>
      <c r="G41" s="4" t="inlineStr">
        <is>
          <t>Impressions rewarded</t>
        </is>
      </c>
      <c r="H41" s="4" t="inlineStr">
        <is>
          <t>Revenus IAA — Haut</t>
        </is>
      </c>
    </row>
    <row r="42">
      <c r="C42" t="n">
        <v>1</v>
      </c>
      <c r="D42" s="13">
        <f>Hypothèses!F9+(Hypothèses!F10-Hypothèses!F9)*($C42-1)/11</f>
        <v/>
      </c>
      <c r="E42" s="13">
        <f>D42</f>
        <v/>
      </c>
      <c r="F42" s="13">
        <f>E42*Hypothèses!F12</f>
        <v/>
      </c>
      <c r="G42" s="13">
        <f>F42*Hypothèses!F13*Hypothèses!F14*Hypothèses!F16</f>
        <v/>
      </c>
      <c r="H42" s="14">
        <f>G42*Hypothèses!F15/1000</f>
        <v/>
      </c>
    </row>
    <row r="43">
      <c r="C43" t="n">
        <v>2</v>
      </c>
      <c r="D43" s="13">
        <f>Hypothèses!F9+(Hypothèses!F10-Hypothèses!F9)*($C43-1)/11</f>
        <v/>
      </c>
      <c r="E43" s="13">
        <f>D43+E42*Hypothèses!F11</f>
        <v/>
      </c>
      <c r="F43" s="13">
        <f>E43*Hypothèses!F12</f>
        <v/>
      </c>
      <c r="G43" s="13">
        <f>F43*Hypothèses!F13*Hypothèses!F14*Hypothèses!F16</f>
        <v/>
      </c>
      <c r="H43" s="14">
        <f>G43*Hypothèses!F15/1000</f>
        <v/>
      </c>
    </row>
    <row r="44">
      <c r="C44" t="n">
        <v>3</v>
      </c>
      <c r="D44" s="13">
        <f>Hypothèses!F9+(Hypothèses!F10-Hypothèses!F9)*($C44-1)/11</f>
        <v/>
      </c>
      <c r="E44" s="13">
        <f>D44+E43*Hypothèses!F11</f>
        <v/>
      </c>
      <c r="F44" s="13">
        <f>E44*Hypothèses!F12</f>
        <v/>
      </c>
      <c r="G44" s="13">
        <f>F44*Hypothèses!F13*Hypothèses!F14*Hypothèses!F16</f>
        <v/>
      </c>
      <c r="H44" s="14">
        <f>G44*Hypothèses!F15/1000</f>
        <v/>
      </c>
    </row>
    <row r="45">
      <c r="C45" t="n">
        <v>4</v>
      </c>
      <c r="D45" s="13">
        <f>Hypothèses!F9+(Hypothèses!F10-Hypothèses!F9)*($C45-1)/11</f>
        <v/>
      </c>
      <c r="E45" s="13">
        <f>D45+E44*Hypothèses!F11</f>
        <v/>
      </c>
      <c r="F45" s="13">
        <f>E45*Hypothèses!F12</f>
        <v/>
      </c>
      <c r="G45" s="13">
        <f>F45*Hypothèses!F13*Hypothèses!F14*Hypothèses!F16</f>
        <v/>
      </c>
      <c r="H45" s="14">
        <f>G45*Hypothèses!F15/1000</f>
        <v/>
      </c>
    </row>
    <row r="46">
      <c r="C46" t="n">
        <v>5</v>
      </c>
      <c r="D46" s="13">
        <f>Hypothèses!F9+(Hypothèses!F10-Hypothèses!F9)*($C46-1)/11</f>
        <v/>
      </c>
      <c r="E46" s="13">
        <f>D46+E45*Hypothèses!F11</f>
        <v/>
      </c>
      <c r="F46" s="13">
        <f>E46*Hypothèses!F12</f>
        <v/>
      </c>
      <c r="G46" s="13">
        <f>F46*Hypothèses!F13*Hypothèses!F14*Hypothèses!F16</f>
        <v/>
      </c>
      <c r="H46" s="14">
        <f>G46*Hypothèses!F15/1000</f>
        <v/>
      </c>
    </row>
    <row r="47">
      <c r="C47" t="n">
        <v>6</v>
      </c>
      <c r="D47" s="13">
        <f>Hypothèses!F9+(Hypothèses!F10-Hypothèses!F9)*($C47-1)/11</f>
        <v/>
      </c>
      <c r="E47" s="13">
        <f>D47+E46*Hypothèses!F11</f>
        <v/>
      </c>
      <c r="F47" s="13">
        <f>E47*Hypothèses!F12</f>
        <v/>
      </c>
      <c r="G47" s="13">
        <f>F47*Hypothèses!F13*Hypothèses!F14*Hypothèses!F16</f>
        <v/>
      </c>
      <c r="H47" s="14">
        <f>G47*Hypothèses!F15/1000</f>
        <v/>
      </c>
    </row>
    <row r="48">
      <c r="C48" t="n">
        <v>7</v>
      </c>
      <c r="D48" s="13">
        <f>Hypothèses!F9+(Hypothèses!F10-Hypothèses!F9)*($C48-1)/11</f>
        <v/>
      </c>
      <c r="E48" s="13">
        <f>D48+E47*Hypothèses!F11</f>
        <v/>
      </c>
      <c r="F48" s="13">
        <f>E48*Hypothèses!F12</f>
        <v/>
      </c>
      <c r="G48" s="13">
        <f>F48*Hypothèses!F13*Hypothèses!F14*Hypothèses!F16</f>
        <v/>
      </c>
      <c r="H48" s="14">
        <f>G48*Hypothèses!F15/1000</f>
        <v/>
      </c>
    </row>
    <row r="49">
      <c r="C49" t="n">
        <v>8</v>
      </c>
      <c r="D49" s="13">
        <f>Hypothèses!F9+(Hypothèses!F10-Hypothèses!F9)*($C49-1)/11</f>
        <v/>
      </c>
      <c r="E49" s="13">
        <f>D49+E48*Hypothèses!F11</f>
        <v/>
      </c>
      <c r="F49" s="13">
        <f>E49*Hypothèses!F12</f>
        <v/>
      </c>
      <c r="G49" s="13">
        <f>F49*Hypothèses!F13*Hypothèses!F14*Hypothèses!F16</f>
        <v/>
      </c>
      <c r="H49" s="14">
        <f>G49*Hypothèses!F15/1000</f>
        <v/>
      </c>
    </row>
    <row r="50">
      <c r="C50" t="n">
        <v>9</v>
      </c>
      <c r="D50" s="13">
        <f>Hypothèses!F9+(Hypothèses!F10-Hypothèses!F9)*($C50-1)/11</f>
        <v/>
      </c>
      <c r="E50" s="13">
        <f>D50+E49*Hypothèses!F11</f>
        <v/>
      </c>
      <c r="F50" s="13">
        <f>E50*Hypothèses!F12</f>
        <v/>
      </c>
      <c r="G50" s="13">
        <f>F50*Hypothèses!F13*Hypothèses!F14*Hypothèses!F16</f>
        <v/>
      </c>
      <c r="H50" s="14">
        <f>G50*Hypothèses!F15/1000</f>
        <v/>
      </c>
    </row>
    <row r="51">
      <c r="C51" t="n">
        <v>10</v>
      </c>
      <c r="D51" s="13">
        <f>Hypothèses!F9+(Hypothèses!F10-Hypothèses!F9)*($C51-1)/11</f>
        <v/>
      </c>
      <c r="E51" s="13">
        <f>D51+E50*Hypothèses!F11</f>
        <v/>
      </c>
      <c r="F51" s="13">
        <f>E51*Hypothèses!F12</f>
        <v/>
      </c>
      <c r="G51" s="13">
        <f>F51*Hypothèses!F13*Hypothèses!F14*Hypothèses!F16</f>
        <v/>
      </c>
      <c r="H51" s="14">
        <f>G51*Hypothèses!F15/1000</f>
        <v/>
      </c>
    </row>
    <row r="52">
      <c r="C52" t="n">
        <v>11</v>
      </c>
      <c r="D52" s="13">
        <f>Hypothèses!F9+(Hypothèses!F10-Hypothèses!F9)*($C52-1)/11</f>
        <v/>
      </c>
      <c r="E52" s="13">
        <f>D52+E51*Hypothèses!F11</f>
        <v/>
      </c>
      <c r="F52" s="13">
        <f>E52*Hypothèses!F12</f>
        <v/>
      </c>
      <c r="G52" s="13">
        <f>F52*Hypothèses!F13*Hypothèses!F14*Hypothèses!F16</f>
        <v/>
      </c>
      <c r="H52" s="14">
        <f>G52*Hypothèses!F15/1000</f>
        <v/>
      </c>
    </row>
    <row r="53">
      <c r="C53" t="n">
        <v>12</v>
      </c>
      <c r="D53" s="13">
        <f>Hypothèses!F9+(Hypothèses!F10-Hypothèses!F9)*($C53-1)/11</f>
        <v/>
      </c>
      <c r="E53" s="13">
        <f>D53+E52*Hypothèses!F11</f>
        <v/>
      </c>
      <c r="F53" s="13">
        <f>E53*Hypothèses!F12</f>
        <v/>
      </c>
      <c r="G53" s="13">
        <f>F53*Hypothèses!F13*Hypothèses!F14*Hypothèses!F16</f>
        <v/>
      </c>
      <c r="H53" s="14">
        <f>G53*Hypothèses!F15/1000</f>
        <v/>
      </c>
    </row>
    <row r="54">
      <c r="C54" s="15" t="inlineStr">
        <is>
          <t>Total / moyenne</t>
        </is>
      </c>
      <c r="D54" s="16">
        <f>SUM(D42:D53)</f>
        <v/>
      </c>
      <c r="E54" s="16">
        <f>AVERAGE(E42:E53)</f>
        <v/>
      </c>
      <c r="F54" s="16">
        <f>AVERAGE(F42:F53)</f>
        <v/>
      </c>
      <c r="G54" s="16">
        <f>SUM(G42:G53)</f>
        <v/>
      </c>
      <c r="H54" s="17">
        <f>SUM(H42:H53)</f>
        <v/>
      </c>
    </row>
  </sheetData>
  <mergeCells count="6">
    <mergeCell ref="C6:H6"/>
    <mergeCell ref="C24:H24"/>
    <mergeCell ref="C5:H5"/>
    <mergeCell ref="C40:H40"/>
    <mergeCell ref="C8:H8"/>
    <mergeCell ref="C3:H3"/>
  </mergeCells>
  <pageMargins left="0.75" right="0.75" top="1" bottom="1" header="0.5" footer="0.5"/>
  <pageSetup orientation="landscape" fitToHeight="0" fitToWidth="1"/>
  <headerFooter>
    <oddHeader/>
    <oddFooter>&amp;CPrévision — Page 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3:H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3">
      <c r="C3" s="1" t="inlineStr">
        <is>
          <t>Luma Loop — Synthèse du prévisionnel IAA</t>
        </is>
      </c>
    </row>
    <row r="5">
      <c r="C5" s="2" t="inlineStr">
        <is>
          <t>Vue de décision : publicité récompensée Android uniquement</t>
        </is>
      </c>
    </row>
    <row r="6">
      <c r="C6" s="3" t="inlineStr">
        <is>
          <t>USD, avant impôts et dépenses de Flash Digital SAS</t>
        </is>
      </c>
    </row>
    <row r="8">
      <c r="C8" s="4" t="inlineStr">
        <is>
          <t>Indicateur</t>
        </is>
      </c>
      <c r="D8" s="4" t="inlineStr">
        <is>
          <t>Prudent</t>
        </is>
      </c>
      <c r="E8" s="4" t="inlineStr">
        <is>
          <t>Central</t>
        </is>
      </c>
      <c r="F8" s="4" t="inlineStr">
        <is>
          <t>Haut</t>
        </is>
      </c>
    </row>
    <row r="9">
      <c r="C9" t="inlineStr">
        <is>
          <t>Installations cumulées à 12 mois</t>
        </is>
      </c>
      <c r="D9" s="13">
        <f>Prévision!D22</f>
        <v/>
      </c>
      <c r="E9" s="13">
        <f>Prévision!D38</f>
        <v/>
      </c>
      <c r="F9" s="13">
        <f>Prévision!D54</f>
        <v/>
      </c>
    </row>
    <row r="10">
      <c r="C10" t="inlineStr">
        <is>
          <t>DAU moyen à 12 mois</t>
        </is>
      </c>
      <c r="D10" s="13">
        <f>Prévision!F22</f>
        <v/>
      </c>
      <c r="E10" s="13">
        <f>Prévision!F38</f>
        <v/>
      </c>
      <c r="F10" s="13">
        <f>Prévision!F54</f>
        <v/>
      </c>
    </row>
    <row r="11">
      <c r="C11" s="18" t="inlineStr">
        <is>
          <t>Revenu IAA total, 12 mois</t>
        </is>
      </c>
      <c r="D11" s="19">
        <f>Prévision!H22</f>
        <v/>
      </c>
      <c r="E11" s="19">
        <f>Prévision!H38</f>
        <v/>
      </c>
      <c r="F11" s="19">
        <f>Prévision!H54</f>
        <v/>
      </c>
    </row>
    <row r="12">
      <c r="C12" s="18" t="inlineStr">
        <is>
          <t>Revenu IAA du mois 12</t>
        </is>
      </c>
      <c r="D12" s="19">
        <f>Prévision!H21</f>
        <v/>
      </c>
      <c r="E12" s="19">
        <f>Prévision!H37</f>
        <v/>
      </c>
      <c r="F12" s="19">
        <f>Prévision!H53</f>
        <v/>
      </c>
    </row>
    <row r="13">
      <c r="C13" t="inlineStr">
        <is>
          <t>DAU requis pour 1 000 USD / mois</t>
        </is>
      </c>
      <c r="D13" s="13">
        <f>1000*1000/(Hypothèses!D13*Hypothèses!D14*Hypothèses!D15*Hypothèses!D16)</f>
        <v/>
      </c>
      <c r="E13" s="13">
        <f>1000*1000/(Hypothèses!E13*Hypothèses!E14*Hypothèses!E15*Hypothèses!E16)</f>
        <v/>
      </c>
      <c r="F13" s="13">
        <f>1000*1000/(Hypothèses!F13*Hypothèses!F14*Hypothèses!F15*Hypothèses!F16)</f>
        <v/>
      </c>
    </row>
    <row r="14">
      <c r="C14" t="inlineStr">
        <is>
          <t>DAU requis pour 10 000 USD / mois</t>
        </is>
      </c>
      <c r="D14" s="13">
        <f>D13*10</f>
        <v/>
      </c>
      <c r="E14" s="13">
        <f>E13*10</f>
        <v/>
      </c>
      <c r="F14" s="13">
        <f>F13*10</f>
        <v/>
      </c>
    </row>
    <row r="17">
      <c r="C17" s="11" t="inlineStr">
        <is>
          <t>Lecture de décision</t>
        </is>
      </c>
    </row>
    <row r="18">
      <c r="C18" s="6" t="inlineStr">
        <is>
          <t>La publicité récompensée est une option de monétisation, pas une garantie de revenus. Dans ce modèle, le principal levier est le DAU durable : les revenus ne deviennent significatifs qu’à une audience régulière de plusieurs milliers de DAU.</t>
        </is>
      </c>
    </row>
    <row r="19"/>
    <row r="21">
      <c r="C21" s="11" t="inlineStr">
        <is>
          <t>Recommandation produit</t>
        </is>
      </c>
    </row>
    <row r="22">
      <c r="C22" s="6" t="inlineStr">
        <is>
          <t>Publier 1.0.0 sans publicité, mesurer acquisition et rétention, puis tester dans une mise à jour une seule publicité récompensée volontaire à un moment de pause naturel. Éviter bannières et interstitiels dans la boucle de jeu.</t>
        </is>
      </c>
    </row>
    <row r="23"/>
  </sheetData>
  <mergeCells count="7">
    <mergeCell ref="C6:H6"/>
    <mergeCell ref="C22:F23"/>
    <mergeCell ref="C17:F17"/>
    <mergeCell ref="C5:H5"/>
    <mergeCell ref="C21:F21"/>
    <mergeCell ref="C3:H3"/>
    <mergeCell ref="C18:F19"/>
  </mergeCells>
  <pageMargins left="0.75" right="0.75" top="1" bottom="1" header="0.5" footer="0.5"/>
  <pageSetup orientation="landscape" fitToHeight="0" fitToWidth="1"/>
  <headerFooter>
    <oddHeader/>
    <oddFooter>&amp;CSynthèse —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2026-08-27T15:55:34Z</dcterms:created>
  <dcterms:modified xmlns:dcterms="http://purl.org/dc/terms/" xmlns:xsi="http://www.w3.org/2001/XMLSchema-instance" xsi:type="dcterms:W3CDTF">2026-08-27T15:55:34Z</dcterms:modified>
</cp:coreProperties>
</file>